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rit\Downloads\MapUp-Data-Assessment-F-main\MapUp-Data-Assessment-F-main\"/>
    </mc:Choice>
  </mc:AlternateContent>
  <xr:revisionPtr revIDLastSave="0" documentId="13_ncr:1_{21B23B64-F73C-4A09-9200-59126D889176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D22" i="19" a="1"/>
  <c r="D22" i="19" s="1"/>
  <c r="D12" i="19" a="1"/>
  <c r="D1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8" i="16"/>
  <c r="B19" i="16"/>
  <c r="B20" i="16"/>
  <c r="B21" i="16"/>
  <c r="C16" i="16"/>
  <c r="D16" i="16"/>
  <c r="E16" i="16"/>
  <c r="F16" i="16"/>
  <c r="B16" i="16"/>
  <c r="T30" i="18"/>
  <c r="T29" i="18"/>
  <c r="S30" i="18"/>
  <c r="S29" i="18"/>
  <c r="T28" i="18"/>
  <c r="S28" i="18"/>
  <c r="R30" i="18"/>
  <c r="R29" i="18"/>
  <c r="R28" i="18"/>
  <c r="Q30" i="18"/>
  <c r="Q29" i="18"/>
  <c r="Q28" i="18"/>
  <c r="P30" i="18"/>
  <c r="P29" i="18"/>
  <c r="P28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6" i="18"/>
  <c r="Q7" i="18"/>
  <c r="Q8" i="18"/>
  <c r="Q9" i="18"/>
  <c r="Q10" i="18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6" i="18"/>
  <c r="P7" i="18"/>
  <c r="P8" i="18"/>
  <c r="P9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6" i="18"/>
  <c r="H42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<sst xmlns="http://schemas.openxmlformats.org/spreadsheetml/2006/main" count="472" uniqueCount="186">
  <si>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</si>
  <si>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</si>
  <si>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</si>
  <si>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</si>
  <si>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</si>
  <si>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</si>
  <si>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</si>
  <si>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</si>
  <si>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</si>
  <si>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</si>
  <si>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</si>
  <si>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</si>
  <si>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</si>
  <si>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</si>
  <si>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</si>
  <si>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</si>
  <si>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</si>
  <si>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</si>
  <si>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</si>
  <si>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</si>
  <si>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</si>
  <si>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</si>
  <si>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</si>
  <si>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</si>
  <si>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</si>
  <si>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</si>
  <si>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</si>
  <si>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</si>
  <si>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</si>
  <si>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</si>
  <si>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</si>
  <si>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</si>
  <si>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</si>
  <si>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</si>
  <si>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</si>
  <si>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</si>
  <si>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</si>
  <si>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</si>
  <si>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</si>
  <si>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</si>
  <si>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</si>
  <si>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</si>
  <si>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</si>
  <si>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</si>
  <si>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</si>
  <si>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</si>
  <si>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</si>
  <si>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</si>
  <si>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</si>
  <si>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</si>
  <si>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</si>
  <si>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</si>
  <si>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</si>
  <si>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</si>
  <si>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</si>
  <si>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</si>
  <si>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</si>
  <si>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</si>
  <si>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</si>
  <si>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</si>
  <si>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</si>
  <si>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</si>
  <si>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</si>
  <si>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</si>
  <si>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</si>
  <si>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</si>
  <si>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</si>
  <si>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</si>
  <si>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</si>
  <si>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</si>
  <si>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</si>
  <si>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</si>
  <si>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</si>
  <si>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</si>
  <si>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</si>
  <si>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</si>
  <si>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</si>
  <si>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</si>
  <si>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</si>
  <si>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</si>
  <si>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</si>
  <si>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</si>
  <si>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</si>
  <si>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</si>
  <si>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</si>
  <si>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</si>
  <si>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</si>
  <si>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</si>
  <si>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</si>
  <si>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</si>
  <si>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</si>
  <si>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</si>
  <si>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</si>
  <si>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</si>
  <si>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</si>
  <si>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</si>
  <si>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</si>
  <si>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</si>
  <si>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</si>
  <si>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</si>
  <si>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</si>
  <si>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</si>
  <si>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</si>
  <si>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</si>
  <si>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</si>
  <si>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</si>
  <si>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</si>
  <si>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</si>
  <si>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</si>
  <si>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</si>
  <si>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</si>
  <si>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</si>
  <si>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</si>
  <si>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</si>
  <si>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</si>
  <si>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</si>
  <si>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</si>
  <si>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</si>
  <si>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</si>
  <si>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</si>
  <si>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</si>
  <si>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</si>
  <si>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</si>
  <si>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</si>
  <si>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</si>
  <si>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</si>
  <si>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</si>
  <si>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</si>
  <si>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</si>
  <si>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</si>
  <si>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</si>
  <si>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</si>
  <si>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</si>
  <si>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</si>
  <si>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</si>
  <si>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</si>
  <si>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</si>
  <si>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</si>
  <si>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</si>
  <si>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</si>
  <si>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</si>
  <si>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</si>
  <si>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</si>
  <si>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</si>
  <si>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</si>
  <si>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</si>
  <si>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</si>
  <si>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</si>
  <si>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</si>
  <si>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</si>
  <si>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</si>
  <si>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</si>
  <si>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</si>
  <si>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</si>
  <si>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</si>
  <si>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</si>
  <si>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</si>
  <si>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</si>
  <si>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</si>
  <si>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</si>
  <si>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</si>
  <si>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</si>
  <si>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</si>
  <si>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</si>
  <si>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</si>
  <si>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</si>
  <si>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</si>
  <si>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</si>
  <si>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</si>
  <si>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</si>
  <si>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</si>
  <si>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</si>
  <si>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</si>
  <si>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</si>
  <si>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</si>
  <si>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</si>
  <si>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</si>
  <si>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=SUMIF(H:H, "&gt;20")</t>
  </si>
  <si>
    <t>col_3 Formula  '=MID(A16, FIND("-", A16) + 1, FIND("-", A16, FIND("-", A16) + 1) - FIND("-", A16) - 1)</t>
  </si>
  <si>
    <t>col_4 Formula ' =MID(A16, FIND("-", A16, FIND("-", A16) + 1) + 1, FIND("-", A16, FIND("-", A16, FIND("-", A16) + 1) + 1) - FIND("-", A16, FIND("-", A16) + 1) - 1)</t>
  </si>
  <si>
    <t xml:space="preserve">col_5 Formula ' =MID(A16, FIND("-", A16, FIND("-", A16, FIND("-", A16) + 1) + 1) + 1, FIND("-", A16, FIND("-", A16, FIND("-", A16, FIND("-", A16) + 1) + 1) + 1) - FIND("-", A16, FIND("-", A16, FIND("-", A16) + 1) + 1) - 1) </t>
  </si>
  <si>
    <t xml:space="preserve">col_6 Formula ' =MID(A16, FIND("-", A16, FIND("-", A16, FIND("-", A16, FIND("-", A16) + 1) + 1) + 1) + 1, LEN(A16) - FIND("-", A16, FIND("-", A16, FIND("-", A16, FIND("-", A16) + 1) + 1) + 1)) </t>
  </si>
  <si>
    <t>col_1 Formula '=LEFT(A16, FIND("-", A16) - 1)</t>
  </si>
  <si>
    <t>=IFERROR(C12:C21, 20)</t>
  </si>
  <si>
    <t>To substitute all #N/A values with the value '20' in a given range in Excel</t>
  </si>
  <si>
    <t>=SUM(IFERROR(C12:C21,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</si>
</sst>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dd/mm/yyyy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37415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7" fillId="0" borderId="0" xfId="0" applyNumberFormat="1" applyFont="1"/>
    <xf numFmtId="2" fontId="3" fillId="0" borderId="0" xfId="0" applyNumberFormat="1" applyFont="1"/>
    <xf numFmtId="0" fontId="7" fillId="6" borderId="0" xfId="0" applyFont="1" applyFill="1"/>
    <xf numFmtId="0" fontId="3" fillId="0" borderId="6" xfId="0" applyFont="1" applyBorder="1" applyAlignment="1">
      <alignment horizontal="right"/>
    </xf>
    <xf numFmtId="0" fontId="8" fillId="0" borderId="0" xfId="0" quotePrefix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5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4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55" zoomScaleNormal="55" workbookViewId="0">
      <selection activeCell="G12" sqref="G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5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5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5">
        <v>45162</v>
      </c>
    </row>
  </sheetData>
  <conditionalFormatting sqref="A1:A1048576">
    <cfRule type="duplicateValues" dxfId="12" priority="2"/>
  </conditionalFormatting>
  <conditionalFormatting sqref="B1:B1048576">
    <cfRule type="duplicateValues" dxfId="11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AC42"/>
  <sheetViews>
    <sheetView tabSelected="1" zoomScale="68" zoomScaleNormal="68" workbookViewId="0">
      <pane ySplit="1" topLeftCell="A5" activePane="bottomLeft" state="frozen"/>
      <selection pane="bottomLeft" activeCell="X1" sqref="X1:X40"/>
    </sheetView>
  </sheetViews>
  <sheetFormatPr defaultColWidth="11" defaultRowHeight="14.4" x14ac:dyDescent="0.3"/>
  <cols>
    <col min="1" max="1" width="16.6640625" style="1" bestFit="1" customWidth="1"/>
    <col min="2" max="2" width="6.6640625" style="1" bestFit="1" customWidth="1"/>
    <col min="3" max="3" width="12" style="1" customWidth="1"/>
    <col min="4" max="4" width="11" style="1"/>
    <col min="5" max="5" width="14.44140625" style="1" bestFit="1" customWidth="1"/>
    <col min="6" max="16" width="11" style="1"/>
    <col min="17" max="17" width="7.5546875" style="1" bestFit="1" customWidth="1"/>
    <col min="18" max="18" width="5.109375" style="1" bestFit="1" customWidth="1"/>
    <col min="19" max="19" width="6.6640625" style="1" bestFit="1" customWidth="1"/>
    <col min="20" max="20" width="11" style="1"/>
    <col min="21" max="21" width="13.21875" style="1" bestFit="1" customWidth="1"/>
    <col min="22" max="23" width="11" style="1"/>
    <col min="24" max="24" width="11.5546875" style="1" bestFit="1" customWidth="1"/>
    <col min="26" max="26" width="61.5546875" style="1" bestFit="1" customWidth="1"/>
    <col min="27" max="27" width="26.44140625" style="1" bestFit="1" customWidth="1"/>
    <col min="28" max="28" width="11" style="1"/>
    <col min="29" max="29" width="13.21875" style="1" bestFit="1" customWidth="1"/>
    <col min="30" max="16384" width="11" style="1"/>
  </cols>
  <sheetData>
    <row r="1" spans="1:29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4" t="s">
        <v>105</v>
      </c>
      <c r="Y1" s="1"/>
      <c r="Z1" s="4" t="s">
        <v>47</v>
      </c>
      <c r="AA1" s="4" t="s">
        <v>44</v>
      </c>
      <c r="AC1" s="4" t="s">
        <v>176</v>
      </c>
    </row>
    <row r="2" spans="1:29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  <c r="Y2" s="1"/>
      <c r="Z2" s="5" t="s">
        <v>160</v>
      </c>
      <c r="AA2" s="2"/>
    </row>
    <row r="3" spans="1:29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Y3" s="1"/>
      <c r="Z3" s="2" t="s">
        <v>107</v>
      </c>
      <c r="AA3" s="2" t="s">
        <v>45</v>
      </c>
      <c r="AC3" s="1">
        <v>5</v>
      </c>
    </row>
    <row r="4" spans="1:29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Y4" s="1"/>
      <c r="Z4" s="2" t="s">
        <v>46</v>
      </c>
      <c r="AA4" s="2"/>
      <c r="AC4" s="1">
        <v>5</v>
      </c>
    </row>
    <row r="5" spans="1:29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Y5" s="1"/>
      <c r="Z5" s="2" t="s">
        <v>103</v>
      </c>
      <c r="AA5" s="33" t="s">
        <v>104</v>
      </c>
      <c r="AC5" s="1">
        <v>10</v>
      </c>
    </row>
    <row r="6" spans="1:29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Y6" s="1"/>
      <c r="Z6" s="2" t="s">
        <v>106</v>
      </c>
      <c r="AA6" s="2"/>
      <c r="AC6" s="1">
        <v>5</v>
      </c>
    </row>
    <row r="7" spans="1:29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  <c r="Y7" s="1"/>
    </row>
    <row r="8" spans="1:29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  <c r="Y8" s="1"/>
    </row>
    <row r="9" spans="1:29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  <c r="Y9" s="1"/>
    </row>
    <row r="10" spans="1:29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  <c r="Y10" s="1"/>
    </row>
    <row r="11" spans="1:29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1"/>
    </row>
    <row r="12" spans="1:29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  <c r="Y12" s="1"/>
    </row>
    <row r="13" spans="1:29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  <c r="Y13" s="1"/>
    </row>
    <row r="14" spans="1:29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  <c r="Y14" s="1"/>
    </row>
    <row r="15" spans="1:29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9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">
      <c r="E42" s="1" t="s">
        <v>177</v>
      </c>
      <c r="H42" s="1">
        <f>SUMIF(H2:H40,"&gt;20")</f>
        <v>1473.0000000000002</v>
      </c>
    </row>
  </sheetData>
  <conditionalFormatting sqref="A1:A40">
    <cfRule type="duplicateValues" dxfId="3" priority="4"/>
  </conditionalFormatting>
  <conditionalFormatting sqref="B1:B40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T41"/>
  <sheetViews>
    <sheetView topLeftCell="F1" zoomScale="85" zoomScaleNormal="85" workbookViewId="0">
      <selection activeCell="V25" sqref="V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2" width="11" style="2"/>
    <col min="13" max="13" width="13" style="2" bestFit="1" customWidth="1"/>
    <col min="14" max="14" width="11" style="2"/>
    <col min="15" max="15" width="17.21875" style="2" bestFit="1" customWidth="1"/>
    <col min="16" max="16384" width="11" style="2"/>
  </cols>
  <sheetData>
    <row r="1" spans="1:20" s="40" customFormat="1" ht="21" x14ac:dyDescent="0.4">
      <c r="A1" s="41" t="s">
        <v>54</v>
      </c>
      <c r="B1" s="40" t="s">
        <v>164</v>
      </c>
    </row>
    <row r="2" spans="1:20" s="40" customFormat="1" ht="21" x14ac:dyDescent="0.4">
      <c r="B2" s="40" t="s">
        <v>161</v>
      </c>
      <c r="L2" s="46"/>
      <c r="M2" s="46"/>
      <c r="N2" s="46"/>
      <c r="O2" s="46"/>
      <c r="P2" s="46"/>
    </row>
    <row r="3" spans="1:20" ht="14.4" x14ac:dyDescent="0.3">
      <c r="A3" s="1"/>
      <c r="B3" s="1"/>
      <c r="C3" s="1"/>
      <c r="D3" s="1"/>
      <c r="E3" s="1"/>
      <c r="F3" s="1"/>
      <c r="G3" s="1"/>
      <c r="L3" s="1"/>
      <c r="M3" s="1"/>
      <c r="N3" s="1"/>
      <c r="O3" s="1"/>
      <c r="P3" s="1"/>
    </row>
    <row r="4" spans="1:20" ht="23.4" x14ac:dyDescent="0.45">
      <c r="B4" s="1"/>
      <c r="C4" s="1"/>
      <c r="D4" s="1"/>
      <c r="E4" s="1"/>
      <c r="F4" s="1"/>
      <c r="G4" s="1"/>
      <c r="L4" s="1"/>
      <c r="M4" s="16" t="s">
        <v>162</v>
      </c>
      <c r="N4" s="1"/>
      <c r="O4" s="1"/>
      <c r="P4" s="1"/>
    </row>
    <row r="5" spans="1:20" ht="14.4" x14ac:dyDescent="0.3">
      <c r="L5" s="1"/>
      <c r="M5" s="1"/>
      <c r="N5" s="1"/>
      <c r="O5" s="18" t="s">
        <v>63</v>
      </c>
      <c r="P5" s="19" t="s">
        <v>78</v>
      </c>
      <c r="Q5" s="20" t="s">
        <v>70</v>
      </c>
      <c r="R5" s="19" t="s">
        <v>74</v>
      </c>
      <c r="S5" s="20" t="s">
        <v>75</v>
      </c>
      <c r="T5" s="21" t="s">
        <v>76</v>
      </c>
    </row>
    <row r="6" spans="1:20" ht="14.4" x14ac:dyDescent="0.3">
      <c r="L6" s="1"/>
      <c r="M6" s="1"/>
      <c r="N6" s="1"/>
      <c r="O6" s="6" t="s">
        <v>40</v>
      </c>
      <c r="P6" s="10">
        <f>IFERROR(VLOOKUP(O6,Dataset!$A$1:$X$40,7,FALSE),"")</f>
        <v>2.7</v>
      </c>
      <c r="Q6" s="10">
        <f>IFERROR(VLOOKUP(O6,Dataset!$A$1:$X$40,14,FALSE),"")</f>
        <v>7.6</v>
      </c>
      <c r="R6" s="10">
        <f>IFERROR(VLOOKUP(O6,Dataset!$A$1:$X$40,18,FALSE),"")</f>
        <v>4.2</v>
      </c>
      <c r="S6" s="10">
        <f>IFERROR(VLOOKUP(O6,Dataset!$A$1:$X$40,20,FALSE),"")</f>
        <v>8.9</v>
      </c>
      <c r="T6" s="7">
        <f>IFERROR(VLOOKUP(O6,Dataset!$A$1:$X$40,22,FALSE),"")</f>
        <v>4.2</v>
      </c>
    </row>
    <row r="7" spans="1:20" ht="14.4" x14ac:dyDescent="0.3">
      <c r="L7" s="1"/>
      <c r="M7" s="1"/>
      <c r="N7" s="1"/>
      <c r="O7" s="6" t="s">
        <v>4</v>
      </c>
      <c r="P7" s="10">
        <f>IFERROR(VLOOKUP(O7,Dataset!$A$1:$X$40,7,FALSE),"")</f>
        <v>2.7</v>
      </c>
      <c r="Q7" s="10">
        <f>IFERROR(VLOOKUP(O7,Dataset!$A$1:$X$40,14,FALSE),"")</f>
        <v>7.6</v>
      </c>
      <c r="R7" s="10">
        <f>IFERROR(VLOOKUP(O7,Dataset!$A$1:$X$40,18,FALSE),"")</f>
        <v>4.2</v>
      </c>
      <c r="S7" s="10">
        <f>IFERROR(VLOOKUP(O7,Dataset!$A$1:$X$40,20,FALSE),"")</f>
        <v>8.9</v>
      </c>
      <c r="T7" s="7">
        <f>IFERROR(VLOOKUP(O7,Dataset!$A$1:$X$40,22,FALSE),"")</f>
        <v>4.2</v>
      </c>
    </row>
    <row r="8" spans="1:20" ht="14.4" x14ac:dyDescent="0.3">
      <c r="L8" s="1"/>
      <c r="M8" s="1"/>
      <c r="N8" s="1"/>
      <c r="O8" s="6" t="s">
        <v>7</v>
      </c>
      <c r="P8" s="10">
        <f>IFERROR(VLOOKUP(O8,Dataset!$A$1:$X$40,7,FALSE),"")</f>
        <v>3.6</v>
      </c>
      <c r="Q8" s="10">
        <f>IFERROR(VLOOKUP(O8,Dataset!$A$1:$X$40,14,FALSE),"")</f>
        <v>11.1</v>
      </c>
      <c r="R8" s="10">
        <f>IFERROR(VLOOKUP(O8,Dataset!$A$1:$X$40,18,FALSE),"")</f>
        <v>5.8</v>
      </c>
      <c r="S8" s="10">
        <f>IFERROR(VLOOKUP(O8,Dataset!$A$1:$X$40,20,FALSE),"")</f>
        <v>12.2</v>
      </c>
      <c r="T8" s="7">
        <f>IFERROR(VLOOKUP(O8,Dataset!$A$1:$X$40,22,FALSE),"")</f>
        <v>5.8</v>
      </c>
    </row>
    <row r="9" spans="1:20" ht="14.4" x14ac:dyDescent="0.3">
      <c r="L9" s="1"/>
      <c r="M9" s="1"/>
      <c r="N9" s="1"/>
      <c r="O9" s="6" t="s">
        <v>8</v>
      </c>
      <c r="P9" s="10">
        <f>IFERROR(VLOOKUP(O9,Dataset!$A$1:$X$40,7,FALSE),"")</f>
        <v>4.9000000000000004</v>
      </c>
      <c r="Q9" s="10">
        <f>IFERROR(VLOOKUP(O9,Dataset!$A$1:$X$40,14,FALSE),"")</f>
        <v>13.3</v>
      </c>
      <c r="R9" s="10">
        <f>IFERROR(VLOOKUP(O9,Dataset!$A$1:$X$40,18,FALSE),"")</f>
        <v>8.1</v>
      </c>
      <c r="S9" s="10">
        <f>IFERROR(VLOOKUP(O9,Dataset!$A$1:$X$40,20,FALSE),"")</f>
        <v>17</v>
      </c>
      <c r="T9" s="7">
        <f>IFERROR(VLOOKUP(O9,Dataset!$A$1:$X$40,22,FALSE),"")</f>
        <v>8.1</v>
      </c>
    </row>
    <row r="10" spans="1:20" ht="14.4" x14ac:dyDescent="0.3">
      <c r="L10" s="1"/>
      <c r="M10" s="1"/>
      <c r="N10" s="1"/>
      <c r="O10" s="6" t="s">
        <v>11</v>
      </c>
      <c r="P10" s="10">
        <f>IFERROR(VLOOKUP(O10,Dataset!$A$1:$X$40,7,FALSE),"")</f>
        <v>9.4</v>
      </c>
      <c r="Q10" s="10">
        <f>IFERROR(VLOOKUP(O10,Dataset!$A$1:$X$40,14,FALSE),"")</f>
        <v>28.3</v>
      </c>
      <c r="R10" s="10">
        <f>IFERROR(VLOOKUP(O10,Dataset!$A$1:$X$40,18,FALSE),"")</f>
        <v>16.100000000000001</v>
      </c>
      <c r="S10" s="10">
        <f>IFERROR(VLOOKUP(O10,Dataset!$A$1:$X$40,20,FALSE),"")</f>
        <v>32.799999999999997</v>
      </c>
      <c r="T10" s="7">
        <f>IFERROR(VLOOKUP(O10,Dataset!$A$1:$X$40,22,FALSE),"")</f>
        <v>16.100000000000001</v>
      </c>
    </row>
    <row r="11" spans="1:20" ht="14.4" x14ac:dyDescent="0.3">
      <c r="L11" s="1"/>
      <c r="M11" s="1"/>
      <c r="N11" s="1"/>
      <c r="O11" s="6" t="s">
        <v>12</v>
      </c>
      <c r="P11" s="10">
        <f>IFERROR(VLOOKUP(O11,Dataset!$A$1:$X$40,7,FALSE),"")</f>
        <v>11.6</v>
      </c>
      <c r="Q11" s="10">
        <f>IFERROR(VLOOKUP(O11,Dataset!$A$1:$X$40,14,FALSE),"")</f>
        <v>35.200000000000003</v>
      </c>
      <c r="R11" s="10">
        <f>IFERROR(VLOOKUP(O11,Dataset!$A$1:$X$40,18,FALSE),"")</f>
        <v>21.3</v>
      </c>
      <c r="S11" s="10">
        <f>IFERROR(VLOOKUP(O11,Dataset!$A$1:$X$40,20,FALSE),"")</f>
        <v>43</v>
      </c>
      <c r="T11" s="7">
        <f>IFERROR(VLOOKUP(O11,Dataset!$A$1:$X$40,22,FALSE),"")</f>
        <v>21.3</v>
      </c>
    </row>
    <row r="12" spans="1:20" ht="14.4" x14ac:dyDescent="0.3">
      <c r="L12" s="1"/>
      <c r="M12" s="1"/>
      <c r="N12" s="1"/>
      <c r="O12" s="6" t="s">
        <v>14</v>
      </c>
      <c r="P12" s="10">
        <f>IFERROR(VLOOKUP(O12,Dataset!$A$1:$X$40,7,FALSE),"")</f>
        <v>18.399999999999999</v>
      </c>
      <c r="Q12" s="10">
        <f>IFERROR(VLOOKUP(O12,Dataset!$A$1:$X$40,14,FALSE),"")</f>
        <v>55.6</v>
      </c>
      <c r="R12" s="10">
        <f>IFERROR(VLOOKUP(O12,Dataset!$A$1:$X$40,18,FALSE),"")</f>
        <v>33.799999999999997</v>
      </c>
      <c r="S12" s="10">
        <f>IFERROR(VLOOKUP(O12,Dataset!$A$1:$X$40,20,FALSE),"")</f>
        <v>67.900000000000006</v>
      </c>
      <c r="T12" s="7">
        <f>IFERROR(VLOOKUP(O12,Dataset!$A$1:$X$40,22,FALSE),"")</f>
        <v>33.799999999999997</v>
      </c>
    </row>
    <row r="13" spans="1:20" ht="14.4" x14ac:dyDescent="0.3">
      <c r="L13" s="1"/>
      <c r="M13" s="1"/>
      <c r="N13" s="1"/>
      <c r="O13" s="6" t="s">
        <v>15</v>
      </c>
      <c r="P13" s="10">
        <f>IFERROR(VLOOKUP(O13,Dataset!$A$1:$X$40,7,FALSE),"")</f>
        <v>0</v>
      </c>
      <c r="Q13" s="10">
        <f>IFERROR(VLOOKUP(O13,Dataset!$A$1:$X$40,14,FALSE),"")</f>
        <v>0</v>
      </c>
      <c r="R13" s="10">
        <f>IFERROR(VLOOKUP(O13,Dataset!$A$1:$X$40,18,FALSE),"")</f>
        <v>0</v>
      </c>
      <c r="S13" s="10">
        <f>IFERROR(VLOOKUP(O13,Dataset!$A$1:$X$40,20,FALSE),"")</f>
        <v>0</v>
      </c>
      <c r="T13" s="7">
        <f>IFERROR(VLOOKUP(O13,Dataset!$A$1:$X$40,22,FALSE),"")</f>
        <v>0</v>
      </c>
    </row>
    <row r="14" spans="1:20" ht="14.4" x14ac:dyDescent="0.3">
      <c r="L14" s="1"/>
      <c r="M14" s="1"/>
      <c r="N14" s="1"/>
      <c r="O14" s="6" t="s">
        <v>16</v>
      </c>
      <c r="P14" s="10">
        <f>IFERROR(VLOOKUP(O14,Dataset!$A$1:$X$40,7,FALSE),"")</f>
        <v>21.9</v>
      </c>
      <c r="Q14" s="10">
        <f>IFERROR(VLOOKUP(O14,Dataset!$A$1:$X$40,14,FALSE),"")</f>
        <v>61.5</v>
      </c>
      <c r="R14" s="10">
        <f>IFERROR(VLOOKUP(O14,Dataset!$A$1:$X$40,18,FALSE),"")</f>
        <v>40.1</v>
      </c>
      <c r="S14" s="10">
        <f>IFERROR(VLOOKUP(O14,Dataset!$A$1:$X$40,20,FALSE),"")</f>
        <v>76.599999999999994</v>
      </c>
      <c r="T14" s="7">
        <f>IFERROR(VLOOKUP(O14,Dataset!$A$1:$X$40,22,FALSE),"")</f>
        <v>40.1</v>
      </c>
    </row>
    <row r="15" spans="1:20" ht="14.4" x14ac:dyDescent="0.3">
      <c r="L15" s="1"/>
      <c r="M15" s="1"/>
      <c r="N15" s="1"/>
      <c r="O15" s="6" t="s">
        <v>18</v>
      </c>
      <c r="P15" s="10">
        <f>IFERROR(VLOOKUP(O15,Dataset!$A$1:$X$40,7,FALSE),"")</f>
        <v>26.8</v>
      </c>
      <c r="Q15" s="10">
        <f>IFERROR(VLOOKUP(O15,Dataset!$A$1:$X$40,14,FALSE),"")</f>
        <v>79.599999999999994</v>
      </c>
      <c r="R15" s="10">
        <f>IFERROR(VLOOKUP(O15,Dataset!$A$1:$X$40,18,FALSE),"")</f>
        <v>47.9</v>
      </c>
      <c r="S15" s="10">
        <f>IFERROR(VLOOKUP(O15,Dataset!$A$1:$X$40,20,FALSE),"")</f>
        <v>96.8</v>
      </c>
      <c r="T15" s="7">
        <f>IFERROR(VLOOKUP(O15,Dataset!$A$1:$X$40,22,FALSE),"")</f>
        <v>47.9</v>
      </c>
    </row>
    <row r="16" spans="1:20" ht="14.4" x14ac:dyDescent="0.3">
      <c r="L16" s="1"/>
      <c r="M16" s="1"/>
      <c r="N16" s="1"/>
      <c r="O16" s="6" t="s">
        <v>20</v>
      </c>
      <c r="P16" s="10">
        <f>IFERROR(VLOOKUP(O16,Dataset!$A$1:$X$40,7,FALSE),"")</f>
        <v>28.5</v>
      </c>
      <c r="Q16" s="10">
        <f>IFERROR(VLOOKUP(O16,Dataset!$A$1:$X$40,14,FALSE),"")</f>
        <v>85.4</v>
      </c>
      <c r="R16" s="10">
        <f>IFERROR(VLOOKUP(O16,Dataset!$A$1:$X$40,18,FALSE),"")</f>
        <v>52.3</v>
      </c>
      <c r="S16" s="10">
        <f>IFERROR(VLOOKUP(O16,Dataset!$A$1:$X$40,20,FALSE),"")</f>
        <v>106.1</v>
      </c>
      <c r="T16" s="7">
        <f>IFERROR(VLOOKUP(O16,Dataset!$A$1:$X$40,22,FALSE),"")</f>
        <v>52.3</v>
      </c>
    </row>
    <row r="17" spans="12:20" ht="14.4" x14ac:dyDescent="0.3">
      <c r="L17" s="1"/>
      <c r="M17" s="1"/>
      <c r="N17" s="1"/>
      <c r="O17" s="6" t="s">
        <v>22</v>
      </c>
      <c r="P17" s="10">
        <f>IFERROR(VLOOKUP(O17,Dataset!$A$1:$X$40,7,FALSE),"")</f>
        <v>30.7</v>
      </c>
      <c r="Q17" s="10">
        <f>IFERROR(VLOOKUP(O17,Dataset!$A$1:$X$40,14,FALSE),"")</f>
        <v>92.1</v>
      </c>
      <c r="R17" s="10">
        <f>IFERROR(VLOOKUP(O17,Dataset!$A$1:$X$40,18,FALSE),"")</f>
        <v>57</v>
      </c>
      <c r="S17" s="10">
        <f>IFERROR(VLOOKUP(O17,Dataset!$A$1:$X$40,20,FALSE),"")</f>
        <v>115.1</v>
      </c>
      <c r="T17" s="7">
        <f>IFERROR(VLOOKUP(O17,Dataset!$A$1:$X$40,22,FALSE),"")</f>
        <v>57</v>
      </c>
    </row>
    <row r="18" spans="12:20" ht="14.4" x14ac:dyDescent="0.3">
      <c r="L18" s="1"/>
      <c r="M18" s="1"/>
      <c r="N18" s="1"/>
      <c r="O18" s="6" t="s">
        <v>23</v>
      </c>
      <c r="P18" s="10">
        <f>IFERROR(VLOOKUP(O18,Dataset!$A$1:$X$40,7,FALSE),"")</f>
        <v>33.799999999999997</v>
      </c>
      <c r="Q18" s="10">
        <f>IFERROR(VLOOKUP(O18,Dataset!$A$1:$X$40,14,FALSE),"")</f>
        <v>101.3</v>
      </c>
      <c r="R18" s="10">
        <f>IFERROR(VLOOKUP(O18,Dataset!$A$1:$X$40,18,FALSE),"")</f>
        <v>61.4</v>
      </c>
      <c r="S18" s="10">
        <f>IFERROR(VLOOKUP(O18,Dataset!$A$1:$X$40,20,FALSE),"")</f>
        <v>124.4</v>
      </c>
      <c r="T18" s="7">
        <f>IFERROR(VLOOKUP(O18,Dataset!$A$1:$X$40,22,FALSE),"")</f>
        <v>61.4</v>
      </c>
    </row>
    <row r="19" spans="12:20" ht="14.4" x14ac:dyDescent="0.3">
      <c r="L19" s="1"/>
      <c r="M19" s="1"/>
      <c r="N19" s="1"/>
      <c r="O19" s="6" t="s">
        <v>24</v>
      </c>
      <c r="P19" s="10">
        <f>IFERROR(VLOOKUP(O19,Dataset!$A$1:$X$40,7,FALSE),"")</f>
        <v>34.700000000000003</v>
      </c>
      <c r="Q19" s="10">
        <f>IFERROR(VLOOKUP(O19,Dataset!$A$1:$X$40,14,FALSE),"")</f>
        <v>106.1</v>
      </c>
      <c r="R19" s="10">
        <f>IFERROR(VLOOKUP(O19,Dataset!$A$1:$X$40,18,FALSE),"")</f>
        <v>63.6</v>
      </c>
      <c r="S19" s="10">
        <f>IFERROR(VLOOKUP(O19,Dataset!$A$1:$X$40,20,FALSE),"")</f>
        <v>128.6</v>
      </c>
      <c r="T19" s="7">
        <f>IFERROR(VLOOKUP(O19,Dataset!$A$1:$X$40,22,FALSE),"")</f>
        <v>63.6</v>
      </c>
    </row>
    <row r="20" spans="12:20" ht="14.4" x14ac:dyDescent="0.3">
      <c r="L20" s="1"/>
      <c r="M20" s="1"/>
      <c r="N20" s="1"/>
      <c r="O20" s="6" t="s">
        <v>28</v>
      </c>
      <c r="P20" s="10">
        <f>IFERROR(VLOOKUP(O20,Dataset!$A$1:$X$40,7,FALSE),"")</f>
        <v>0</v>
      </c>
      <c r="Q20" s="10">
        <f>IFERROR(VLOOKUP(O20,Dataset!$A$1:$X$40,14,FALSE),"")</f>
        <v>0</v>
      </c>
      <c r="R20" s="10">
        <f>IFERROR(VLOOKUP(O20,Dataset!$A$1:$X$40,18,FALSE),"")</f>
        <v>0</v>
      </c>
      <c r="S20" s="10">
        <f>IFERROR(VLOOKUP(O20,Dataset!$A$1:$X$40,20,FALSE),"")</f>
        <v>0</v>
      </c>
      <c r="T20" s="7">
        <f>IFERROR(VLOOKUP(O20,Dataset!$A$1:$X$40,22,FALSE),"")</f>
        <v>0</v>
      </c>
    </row>
    <row r="21" spans="12:20" ht="14.4" x14ac:dyDescent="0.3">
      <c r="L21" s="1"/>
      <c r="M21" s="1"/>
      <c r="N21" s="1"/>
      <c r="O21" s="6" t="s">
        <v>56</v>
      </c>
      <c r="P21" s="10">
        <f>IFERROR(VLOOKUP(O21,Dataset!$A$1:$X$40,7,FALSE),"")</f>
        <v>41.3</v>
      </c>
      <c r="Q21" s="10">
        <f>IFERROR(VLOOKUP(O21,Dataset!$A$1:$X$40,14,FALSE),"")</f>
        <v>124.4</v>
      </c>
      <c r="R21" s="10">
        <f>IFERROR(VLOOKUP(O21,Dataset!$A$1:$X$40,18,FALSE),"")</f>
        <v>75</v>
      </c>
      <c r="S21" s="10">
        <f>IFERROR(VLOOKUP(O21,Dataset!$A$1:$X$40,20,FALSE),"")</f>
        <v>151.5</v>
      </c>
      <c r="T21" s="7">
        <f>IFERROR(VLOOKUP(O21,Dataset!$A$1:$X$40,22,FALSE),"")</f>
        <v>75</v>
      </c>
    </row>
    <row r="22" spans="12:20" ht="14.4" x14ac:dyDescent="0.3">
      <c r="L22" s="1"/>
      <c r="M22" s="1"/>
      <c r="N22" s="1"/>
      <c r="O22" s="6" t="s">
        <v>57</v>
      </c>
      <c r="P22" s="10">
        <f>IFERROR(VLOOKUP(O22,Dataset!$A$1:$X$40,7,FALSE),"")</f>
        <v>-1</v>
      </c>
      <c r="Q22" s="10">
        <f>IFERROR(VLOOKUP(O22,Dataset!$A$1:$X$40,14,FALSE),"")</f>
        <v>-1</v>
      </c>
      <c r="R22" s="10">
        <f>IFERROR(VLOOKUP(O22,Dataset!$A$1:$X$40,18,FALSE),"")</f>
        <v>-1</v>
      </c>
      <c r="S22" s="10">
        <f>IFERROR(VLOOKUP(O22,Dataset!$A$1:$X$40,20,FALSE),"")</f>
        <v>-1</v>
      </c>
      <c r="T22" s="7">
        <f>IFERROR(VLOOKUP(O22,Dataset!$A$1:$X$40,22,FALSE),"")</f>
        <v>-1</v>
      </c>
    </row>
    <row r="23" spans="12:20" ht="14.4" x14ac:dyDescent="0.3">
      <c r="L23" s="1"/>
      <c r="M23" s="1"/>
      <c r="N23" s="1"/>
      <c r="O23" s="6" t="s">
        <v>31</v>
      </c>
      <c r="P23" s="10">
        <f>IFERROR(VLOOKUP(O23,Dataset!$A$1:$X$40,7,FALSE),"")</f>
        <v>45</v>
      </c>
      <c r="Q23" s="10">
        <f>IFERROR(VLOOKUP(O23,Dataset!$A$1:$X$40,14,FALSE),"")</f>
        <v>133.4</v>
      </c>
      <c r="R23" s="10">
        <f>IFERROR(VLOOKUP(O23,Dataset!$A$1:$X$40,18,FALSE),"")</f>
        <v>79.400000000000006</v>
      </c>
      <c r="S23" s="10">
        <f>IFERROR(VLOOKUP(O23,Dataset!$A$1:$X$40,20,FALSE),"")</f>
        <v>160.9</v>
      </c>
      <c r="T23" s="7">
        <f>IFERROR(VLOOKUP(O23,Dataset!$A$1:$X$40,22,FALSE),"")</f>
        <v>79.400000000000006</v>
      </c>
    </row>
    <row r="24" spans="12:20" ht="14.4" x14ac:dyDescent="0.3">
      <c r="L24" s="1"/>
      <c r="M24" s="1"/>
      <c r="N24" s="1"/>
      <c r="O24" s="6" t="s">
        <v>32</v>
      </c>
      <c r="P24" s="10">
        <f>IFERROR(VLOOKUP(O24,Dataset!$A$1:$X$40,7,FALSE),"")</f>
        <v>-1</v>
      </c>
      <c r="Q24" s="10">
        <f>IFERROR(VLOOKUP(O24,Dataset!$A$1:$X$40,14,FALSE),"")</f>
        <v>-1</v>
      </c>
      <c r="R24" s="10">
        <f>IFERROR(VLOOKUP(O24,Dataset!$A$1:$X$40,18,FALSE),"")</f>
        <v>-1</v>
      </c>
      <c r="S24" s="10">
        <f>IFERROR(VLOOKUP(O24,Dataset!$A$1:$X$40,20,FALSE),"")</f>
        <v>-1</v>
      </c>
      <c r="T24" s="7">
        <f>IFERROR(VLOOKUP(O24,Dataset!$A$1:$X$40,22,FALSE),"")</f>
        <v>-1</v>
      </c>
    </row>
    <row r="25" spans="12:20" ht="14.4" x14ac:dyDescent="0.3">
      <c r="L25" s="1"/>
      <c r="M25" s="1"/>
      <c r="N25" s="1"/>
      <c r="O25" s="6" t="s">
        <v>34</v>
      </c>
      <c r="P25" s="10">
        <f>IFERROR(VLOOKUP(O25,Dataset!$A$1:$X$40,7,FALSE),"")</f>
        <v>43.3</v>
      </c>
      <c r="Q25" s="10">
        <f>IFERROR(VLOOKUP(O25,Dataset!$A$1:$X$40,14,FALSE),"")</f>
        <v>128.6</v>
      </c>
      <c r="R25" s="10">
        <f>IFERROR(VLOOKUP(O25,Dataset!$A$1:$X$40,18,FALSE),"")</f>
        <v>79.400000000000006</v>
      </c>
      <c r="S25" s="10">
        <f>IFERROR(VLOOKUP(O25,Dataset!$A$1:$X$40,20,FALSE),"")</f>
        <v>160.9</v>
      </c>
      <c r="T25" s="7">
        <f>IFERROR(VLOOKUP(O25,Dataset!$A$1:$X$40,22,FALSE),"")</f>
        <v>79.400000000000006</v>
      </c>
    </row>
    <row r="26" spans="12:20" ht="14.4" x14ac:dyDescent="0.3">
      <c r="L26" s="1"/>
      <c r="M26" s="1"/>
      <c r="N26" s="1"/>
      <c r="O26" s="6" t="s">
        <v>37</v>
      </c>
      <c r="P26" s="10">
        <f>IFERROR(VLOOKUP(O26,Dataset!$A$1:$X$40,7,FALSE),"")</f>
        <v>49.1</v>
      </c>
      <c r="Q26" s="10">
        <f>IFERROR(VLOOKUP(O26,Dataset!$A$1:$X$40,14,FALSE),"")</f>
        <v>146.80000000000001</v>
      </c>
      <c r="R26" s="10">
        <f>IFERROR(VLOOKUP(O26,Dataset!$A$1:$X$40,18,FALSE),"")</f>
        <v>90.9</v>
      </c>
      <c r="S26" s="10">
        <f>IFERROR(VLOOKUP(O26,Dataset!$A$1:$X$40,20,FALSE),"")</f>
        <v>183.5</v>
      </c>
      <c r="T26" s="7">
        <f>IFERROR(VLOOKUP(O26,Dataset!$A$1:$X$40,22,FALSE),"")</f>
        <v>90.9</v>
      </c>
    </row>
    <row r="27" spans="12:20" ht="14.4" x14ac:dyDescent="0.3">
      <c r="L27" s="1"/>
      <c r="M27" s="1"/>
      <c r="N27" s="1"/>
      <c r="O27" s="6" t="s">
        <v>39</v>
      </c>
      <c r="P27" s="10">
        <f>IFERROR(VLOOKUP(O27,Dataset!$A$1:$X$40,7,FALSE),"")</f>
        <v>51.8</v>
      </c>
      <c r="Q27" s="10">
        <f>IFERROR(VLOOKUP(O27,Dataset!$A$1:$X$40,14,FALSE),"")</f>
        <v>156.4</v>
      </c>
      <c r="R27" s="10">
        <f>IFERROR(VLOOKUP(O27,Dataset!$A$1:$X$40,18,FALSE),"")</f>
        <v>93.1</v>
      </c>
      <c r="S27" s="10">
        <f>IFERROR(VLOOKUP(O27,Dataset!$A$1:$X$40,20,FALSE),"")</f>
        <v>188.1</v>
      </c>
      <c r="T27" s="7">
        <f>IFERROR(VLOOKUP(O27,Dataset!$A$1:$X$40,22,FALSE),"")</f>
        <v>93.1</v>
      </c>
    </row>
    <row r="28" spans="12:20" ht="14.4" x14ac:dyDescent="0.3">
      <c r="L28" s="1"/>
      <c r="M28" s="1"/>
      <c r="N28" s="1"/>
      <c r="O28" s="17" t="s">
        <v>81</v>
      </c>
      <c r="P28" s="30">
        <f>MIN(P6:P27,P6:P27)</f>
        <v>-1</v>
      </c>
      <c r="Q28" s="30">
        <f>MIN(Q6:Q27,Q6:Q27)</f>
        <v>-1</v>
      </c>
      <c r="R28" s="30">
        <f>MIN(R6:T27,R6:T27)</f>
        <v>-1</v>
      </c>
      <c r="S28" s="30">
        <f>MIN(S6:S27,S6:S27)</f>
        <v>-1</v>
      </c>
      <c r="T28" s="30">
        <f>MIN(T6:T27,T6:T27)</f>
        <v>-1</v>
      </c>
    </row>
    <row r="29" spans="12:20" ht="14.4" x14ac:dyDescent="0.3">
      <c r="L29" s="1"/>
      <c r="M29" s="1"/>
      <c r="N29" s="1"/>
      <c r="O29" s="17" t="s">
        <v>82</v>
      </c>
      <c r="P29" s="30">
        <f>MAX(P6:P27,P6:P27)</f>
        <v>51.8</v>
      </c>
      <c r="Q29" s="30">
        <f>MAX(Q6:Q27,Q6:Q27)</f>
        <v>156.4</v>
      </c>
      <c r="R29" s="30">
        <f>MAX(R6:R27,R6:R27)</f>
        <v>93.1</v>
      </c>
      <c r="S29" s="30">
        <f>MAX(S6:S27,S6:S27)</f>
        <v>188.1</v>
      </c>
      <c r="T29" s="30">
        <f>MAX(T6:T27,T6:T27)</f>
        <v>93.1</v>
      </c>
    </row>
    <row r="30" spans="12:20" ht="14.4" x14ac:dyDescent="0.3">
      <c r="L30" s="1"/>
      <c r="M30" s="1"/>
      <c r="N30" s="1"/>
      <c r="O30" s="17" t="s">
        <v>83</v>
      </c>
      <c r="P30" s="30">
        <f>AVERAGE(P6:P27,P6:P27)</f>
        <v>20.827272727272724</v>
      </c>
      <c r="Q30" s="30">
        <f>AVERAGE(Q6:Q27,Q6:Q27)</f>
        <v>62.377272727272725</v>
      </c>
      <c r="R30" s="30">
        <f>AVERAGE(R6:R27,R6:R27)</f>
        <v>37.800000000000004</v>
      </c>
      <c r="S30" s="30">
        <f>AVERAGE(S6:S27,S6:S27)</f>
        <v>76.418181818181822</v>
      </c>
      <c r="T30" s="30">
        <f>AVERAGE(T6:T27,T6:T27)</f>
        <v>37.800000000000004</v>
      </c>
    </row>
    <row r="31" spans="12:20" ht="14.4" x14ac:dyDescent="0.3">
      <c r="L31" s="1"/>
      <c r="M31" s="1"/>
      <c r="N31" s="1"/>
      <c r="O31" s="1"/>
      <c r="P31" s="1"/>
    </row>
    <row r="32" spans="12:20" ht="14.4" x14ac:dyDescent="0.3">
      <c r="L32" s="1"/>
      <c r="M32" s="1"/>
      <c r="N32" s="1"/>
      <c r="O32" s="1"/>
      <c r="P32" s="1"/>
    </row>
    <row r="33" spans="12:16" ht="14.4" x14ac:dyDescent="0.3">
      <c r="L33" s="1"/>
      <c r="M33" s="1"/>
      <c r="N33" s="1"/>
      <c r="O33" s="1"/>
      <c r="P33" s="1"/>
    </row>
    <row r="34" spans="12:16" ht="14.4" x14ac:dyDescent="0.3">
      <c r="L34" s="1"/>
      <c r="M34" s="1"/>
      <c r="N34" s="1"/>
      <c r="O34" s="1"/>
      <c r="P34" s="1"/>
    </row>
    <row r="35" spans="12:16" ht="14.4" x14ac:dyDescent="0.3">
      <c r="L35" s="1"/>
      <c r="M35" s="1"/>
      <c r="N35" s="1"/>
      <c r="O35" s="1"/>
      <c r="P35" s="1"/>
    </row>
    <row r="36" spans="12:16" ht="14.4" x14ac:dyDescent="0.3">
      <c r="L36" s="1"/>
      <c r="M36" s="1"/>
      <c r="N36" s="1"/>
      <c r="O36" s="1"/>
      <c r="P36" s="1"/>
    </row>
    <row r="37" spans="12:16" ht="14.4" x14ac:dyDescent="0.3">
      <c r="L37" s="1"/>
      <c r="M37" s="1"/>
      <c r="N37" s="1"/>
      <c r="O37" s="1"/>
      <c r="P37" s="1"/>
    </row>
    <row r="38" spans="12:16" ht="14.4" x14ac:dyDescent="0.3">
      <c r="L38" s="1"/>
      <c r="M38" s="1"/>
      <c r="N38" s="1"/>
      <c r="O38" s="1"/>
      <c r="P38" s="1"/>
    </row>
    <row r="39" spans="12:16" ht="14.4" x14ac:dyDescent="0.3">
      <c r="L39" s="1"/>
      <c r="M39" s="1"/>
      <c r="N39" s="1"/>
      <c r="O39" s="1"/>
      <c r="P39" s="1"/>
    </row>
    <row r="40" spans="12:16" ht="14.4" x14ac:dyDescent="0.3">
      <c r="L40" s="1"/>
      <c r="M40" s="1"/>
      <c r="N40" s="1"/>
      <c r="O40" s="1"/>
      <c r="P40" s="1"/>
    </row>
    <row r="41" spans="12:16" ht="14.4" x14ac:dyDescent="0.3">
      <c r="L41" s="1"/>
      <c r="M41" s="1"/>
      <c r="N41" s="1"/>
      <c r="O41" s="1"/>
      <c r="P4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H15" sqref="H1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55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52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6" t="s">
        <v>165</v>
      </c>
      <c r="I9" s="2"/>
      <c r="J9" s="2"/>
    </row>
    <row r="10" spans="1:10" x14ac:dyDescent="0.3">
      <c r="A10" s="32" t="s">
        <v>101</v>
      </c>
      <c r="B10" s="15" t="s">
        <v>48</v>
      </c>
      <c r="C10" s="15" t="s">
        <v>49</v>
      </c>
      <c r="D10" s="15" t="s">
        <v>50</v>
      </c>
      <c r="E10" s="15" t="s">
        <v>51</v>
      </c>
      <c r="F10" s="15" t="s">
        <v>53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  <c r="J14" s="1" t="s">
        <v>182</v>
      </c>
    </row>
    <row r="15" spans="1:10" x14ac:dyDescent="0.3">
      <c r="A15" s="12" t="s">
        <v>102</v>
      </c>
      <c r="B15" s="15" t="s">
        <v>48</v>
      </c>
      <c r="C15" s="13" t="s">
        <v>49</v>
      </c>
      <c r="D15" s="15" t="s">
        <v>50</v>
      </c>
      <c r="E15" s="13" t="s">
        <v>51</v>
      </c>
      <c r="F15" s="15" t="s">
        <v>53</v>
      </c>
      <c r="J15" s="1" t="s">
        <v>178</v>
      </c>
    </row>
    <row r="16" spans="1:10" x14ac:dyDescent="0.3">
      <c r="A16" s="6" t="s">
        <v>121</v>
      </c>
      <c r="B16" s="47" t="str">
        <f>LEFT(A16, FIND("-", A16) - 1)</f>
        <v>20000</v>
      </c>
      <c r="C16" s="1" t="str">
        <f>MID(A16, FIND("-", A16) + 1, FIND("-", A16, FIND("-", A16) + 1) - FIND("-", A16) - 1)</f>
        <v>Monday</v>
      </c>
      <c r="D16" s="47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47" t="str">
        <f>MID(A16, FIND("-", A16, FIND("-", A16, FIND("-", A16, FIND("-", A16) + 1) + 1) + 1) + 1, LEN(A16) - FIND("-", A16, FIND("-", A16, FIND("-", A16, FIND("-", A16) + 1) + 1) + 1))</f>
        <v>24</v>
      </c>
      <c r="J16" s="1" t="s">
        <v>179</v>
      </c>
    </row>
    <row r="17" spans="1:10" x14ac:dyDescent="0.3">
      <c r="A17" s="6" t="s">
        <v>122</v>
      </c>
      <c r="B17" s="47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47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47" t="str">
        <f t="shared" ref="F17:F54" si="4">MID(A17, FIND("-", A17, FIND("-", A17, FIND("-", A17, FIND("-", A17) + 1) + 1) + 1) + 1, LEN(A17) - FIND("-", A17, FIND("-", A17, FIND("-", A17, FIND("-", A17) + 1) + 1) + 1))</f>
        <v>24</v>
      </c>
      <c r="J17" s="1" t="s">
        <v>180</v>
      </c>
    </row>
    <row r="18" spans="1:10" x14ac:dyDescent="0.3">
      <c r="A18" s="6" t="s">
        <v>123</v>
      </c>
      <c r="B18" s="47" t="str">
        <f t="shared" si="0"/>
        <v>20004</v>
      </c>
      <c r="C18" s="1" t="str">
        <f t="shared" si="1"/>
        <v>Monday</v>
      </c>
      <c r="D18" s="47" t="str">
        <f t="shared" si="2"/>
        <v>0</v>
      </c>
      <c r="E18" s="1" t="str">
        <f t="shared" si="3"/>
        <v>Sunday</v>
      </c>
      <c r="F18" s="47" t="str">
        <f t="shared" si="4"/>
        <v>24</v>
      </c>
      <c r="J18" s="1" t="s">
        <v>181</v>
      </c>
    </row>
    <row r="19" spans="1:10" x14ac:dyDescent="0.3">
      <c r="A19" s="6" t="s">
        <v>124</v>
      </c>
      <c r="B19" s="47" t="str">
        <f t="shared" si="0"/>
        <v>20006</v>
      </c>
      <c r="C19" s="1" t="str">
        <f t="shared" si="1"/>
        <v>Monday</v>
      </c>
      <c r="D19" s="47" t="str">
        <f t="shared" si="2"/>
        <v>0</v>
      </c>
      <c r="E19" s="1" t="str">
        <f t="shared" si="3"/>
        <v>Sunday</v>
      </c>
      <c r="F19" s="47" t="str">
        <f t="shared" si="4"/>
        <v>24</v>
      </c>
    </row>
    <row r="20" spans="1:10" x14ac:dyDescent="0.3">
      <c r="A20" s="6" t="s">
        <v>125</v>
      </c>
      <c r="B20" s="47" t="str">
        <f t="shared" si="0"/>
        <v>20008</v>
      </c>
      <c r="C20" s="1" t="str">
        <f t="shared" si="1"/>
        <v>Monday</v>
      </c>
      <c r="D20" s="47" t="str">
        <f t="shared" si="2"/>
        <v>0</v>
      </c>
      <c r="E20" s="1" t="str">
        <f t="shared" si="3"/>
        <v>Sunday</v>
      </c>
      <c r="F20" s="47" t="str">
        <f t="shared" si="4"/>
        <v>24</v>
      </c>
    </row>
    <row r="21" spans="1:10" x14ac:dyDescent="0.3">
      <c r="A21" s="6" t="s">
        <v>126</v>
      </c>
      <c r="B21" s="47" t="str">
        <f t="shared" si="0"/>
        <v>20010</v>
      </c>
      <c r="C21" s="1" t="str">
        <f t="shared" si="1"/>
        <v>Monday</v>
      </c>
      <c r="D21" s="47" t="str">
        <f t="shared" si="2"/>
        <v>0</v>
      </c>
      <c r="E21" s="1" t="str">
        <f t="shared" si="3"/>
        <v>Sunday</v>
      </c>
      <c r="F21" s="47" t="str">
        <f t="shared" si="4"/>
        <v>24</v>
      </c>
    </row>
    <row r="22" spans="1:10" x14ac:dyDescent="0.3">
      <c r="A22" s="6" t="s">
        <v>127</v>
      </c>
      <c r="B22" s="47" t="str">
        <f t="shared" si="0"/>
        <v>20012</v>
      </c>
      <c r="C22" s="1" t="str">
        <f t="shared" si="1"/>
        <v>Monday</v>
      </c>
      <c r="D22" s="47" t="str">
        <f t="shared" si="2"/>
        <v>0</v>
      </c>
      <c r="E22" s="1" t="str">
        <f t="shared" si="3"/>
        <v>Sunday</v>
      </c>
      <c r="F22" s="47" t="str">
        <f t="shared" si="4"/>
        <v>24</v>
      </c>
    </row>
    <row r="23" spans="1:10" x14ac:dyDescent="0.3">
      <c r="A23" s="6" t="s">
        <v>128</v>
      </c>
      <c r="B23" s="47" t="str">
        <f t="shared" si="0"/>
        <v>20014</v>
      </c>
      <c r="C23" s="1" t="str">
        <f t="shared" si="1"/>
        <v>Monday</v>
      </c>
      <c r="D23" s="47" t="str">
        <f t="shared" si="2"/>
        <v>0</v>
      </c>
      <c r="E23" s="1" t="str">
        <f t="shared" si="3"/>
        <v>Sunday</v>
      </c>
      <c r="F23" s="47" t="str">
        <f t="shared" si="4"/>
        <v>24</v>
      </c>
    </row>
    <row r="24" spans="1:10" x14ac:dyDescent="0.3">
      <c r="A24" s="6" t="s">
        <v>129</v>
      </c>
      <c r="B24" s="47" t="str">
        <f t="shared" si="0"/>
        <v>20016</v>
      </c>
      <c r="C24" s="1" t="str">
        <f t="shared" si="1"/>
        <v>Monday</v>
      </c>
      <c r="D24" s="47" t="str">
        <f t="shared" si="2"/>
        <v>0</v>
      </c>
      <c r="E24" s="1" t="str">
        <f t="shared" si="3"/>
        <v>Sunday</v>
      </c>
      <c r="F24" s="47" t="str">
        <f t="shared" si="4"/>
        <v>24</v>
      </c>
    </row>
    <row r="25" spans="1:10" x14ac:dyDescent="0.3">
      <c r="A25" s="6" t="s">
        <v>130</v>
      </c>
      <c r="B25" s="47" t="str">
        <f t="shared" si="0"/>
        <v>20018</v>
      </c>
      <c r="C25" s="1" t="str">
        <f t="shared" si="1"/>
        <v>Monday</v>
      </c>
      <c r="D25" s="47" t="str">
        <f t="shared" si="2"/>
        <v>0</v>
      </c>
      <c r="E25" s="1" t="str">
        <f t="shared" si="3"/>
        <v>Sunday</v>
      </c>
      <c r="F25" s="47" t="str">
        <f t="shared" si="4"/>
        <v>24</v>
      </c>
    </row>
    <row r="26" spans="1:10" x14ac:dyDescent="0.3">
      <c r="A26" s="6" t="s">
        <v>131</v>
      </c>
      <c r="B26" s="47" t="str">
        <f t="shared" si="0"/>
        <v>20020</v>
      </c>
      <c r="C26" s="1" t="str">
        <f t="shared" si="1"/>
        <v>Monday</v>
      </c>
      <c r="D26" s="47" t="str">
        <f t="shared" si="2"/>
        <v>0</v>
      </c>
      <c r="E26" s="1" t="str">
        <f t="shared" si="3"/>
        <v>Sunday</v>
      </c>
      <c r="F26" s="47" t="str">
        <f t="shared" si="4"/>
        <v>24</v>
      </c>
    </row>
    <row r="27" spans="1:10" x14ac:dyDescent="0.3">
      <c r="A27" s="6" t="s">
        <v>132</v>
      </c>
      <c r="B27" s="47" t="str">
        <f t="shared" si="0"/>
        <v>20022</v>
      </c>
      <c r="C27" s="1" t="str">
        <f t="shared" si="1"/>
        <v>Monday</v>
      </c>
      <c r="D27" s="47" t="str">
        <f t="shared" si="2"/>
        <v>0</v>
      </c>
      <c r="E27" s="1" t="str">
        <f t="shared" si="3"/>
        <v>Sunday</v>
      </c>
      <c r="F27" s="47" t="str">
        <f t="shared" si="4"/>
        <v>24</v>
      </c>
    </row>
    <row r="28" spans="1:10" x14ac:dyDescent="0.3">
      <c r="A28" s="6" t="s">
        <v>133</v>
      </c>
      <c r="B28" s="47" t="str">
        <f t="shared" si="0"/>
        <v>20024</v>
      </c>
      <c r="C28" s="1" t="str">
        <f t="shared" si="1"/>
        <v>Monday</v>
      </c>
      <c r="D28" s="47" t="str">
        <f t="shared" si="2"/>
        <v>0</v>
      </c>
      <c r="E28" s="1" t="str">
        <f t="shared" si="3"/>
        <v>Sunday</v>
      </c>
      <c r="F28" s="47" t="str">
        <f t="shared" si="4"/>
        <v>24</v>
      </c>
    </row>
    <row r="29" spans="1:10" x14ac:dyDescent="0.3">
      <c r="A29" s="6" t="s">
        <v>134</v>
      </c>
      <c r="B29" s="47" t="str">
        <f t="shared" si="0"/>
        <v>20026</v>
      </c>
      <c r="C29" s="1" t="str">
        <f t="shared" si="1"/>
        <v>Monday</v>
      </c>
      <c r="D29" s="47" t="str">
        <f t="shared" si="2"/>
        <v>0</v>
      </c>
      <c r="E29" s="1" t="str">
        <f t="shared" si="3"/>
        <v>Sunday</v>
      </c>
      <c r="F29" s="47" t="str">
        <f t="shared" si="4"/>
        <v>24</v>
      </c>
    </row>
    <row r="30" spans="1:10" x14ac:dyDescent="0.3">
      <c r="A30" s="6" t="s">
        <v>135</v>
      </c>
      <c r="B30" s="47" t="str">
        <f t="shared" si="0"/>
        <v>20028</v>
      </c>
      <c r="C30" s="1" t="str">
        <f t="shared" si="1"/>
        <v>Monday</v>
      </c>
      <c r="D30" s="47" t="str">
        <f t="shared" si="2"/>
        <v>0</v>
      </c>
      <c r="E30" s="1" t="str">
        <f t="shared" si="3"/>
        <v>Sunday</v>
      </c>
      <c r="F30" s="47" t="str">
        <f t="shared" si="4"/>
        <v>24</v>
      </c>
    </row>
    <row r="31" spans="1:10" x14ac:dyDescent="0.3">
      <c r="A31" s="6" t="s">
        <v>136</v>
      </c>
      <c r="B31" s="47" t="str">
        <f t="shared" si="0"/>
        <v>20030</v>
      </c>
      <c r="C31" s="1" t="str">
        <f t="shared" si="1"/>
        <v>Monday</v>
      </c>
      <c r="D31" s="47" t="str">
        <f t="shared" si="2"/>
        <v>0</v>
      </c>
      <c r="E31" s="1" t="str">
        <f t="shared" si="3"/>
        <v>Sunday</v>
      </c>
      <c r="F31" s="47" t="str">
        <f t="shared" si="4"/>
        <v>24</v>
      </c>
    </row>
    <row r="32" spans="1:10" x14ac:dyDescent="0.3">
      <c r="A32" s="6" t="s">
        <v>137</v>
      </c>
      <c r="B32" s="47" t="str">
        <f t="shared" si="0"/>
        <v>20032</v>
      </c>
      <c r="C32" s="1" t="str">
        <f t="shared" si="1"/>
        <v>Monday</v>
      </c>
      <c r="D32" s="47" t="str">
        <f t="shared" si="2"/>
        <v>0</v>
      </c>
      <c r="E32" s="1" t="str">
        <f t="shared" si="3"/>
        <v>Sunday</v>
      </c>
      <c r="F32" s="47" t="str">
        <f t="shared" si="4"/>
        <v>24</v>
      </c>
    </row>
    <row r="33" spans="1:6" x14ac:dyDescent="0.3">
      <c r="A33" s="6" t="s">
        <v>138</v>
      </c>
      <c r="B33" s="47" t="str">
        <f t="shared" si="0"/>
        <v>20034</v>
      </c>
      <c r="C33" s="1" t="str">
        <f t="shared" si="1"/>
        <v>Monday</v>
      </c>
      <c r="D33" s="47" t="str">
        <f t="shared" si="2"/>
        <v>0</v>
      </c>
      <c r="E33" s="1" t="str">
        <f t="shared" si="3"/>
        <v>Sunday</v>
      </c>
      <c r="F33" s="47" t="str">
        <f t="shared" si="4"/>
        <v>24</v>
      </c>
    </row>
    <row r="34" spans="1:6" x14ac:dyDescent="0.3">
      <c r="A34" s="6" t="s">
        <v>139</v>
      </c>
      <c r="B34" s="47" t="str">
        <f t="shared" si="0"/>
        <v>20036</v>
      </c>
      <c r="C34" s="1" t="str">
        <f t="shared" si="1"/>
        <v>Monday</v>
      </c>
      <c r="D34" s="47" t="str">
        <f t="shared" si="2"/>
        <v>0</v>
      </c>
      <c r="E34" s="1" t="str">
        <f t="shared" si="3"/>
        <v>Sunday</v>
      </c>
      <c r="F34" s="47" t="str">
        <f t="shared" si="4"/>
        <v>24</v>
      </c>
    </row>
    <row r="35" spans="1:6" x14ac:dyDescent="0.3">
      <c r="A35" s="6" t="s">
        <v>140</v>
      </c>
      <c r="B35" s="47" t="str">
        <f t="shared" si="0"/>
        <v>20038</v>
      </c>
      <c r="C35" s="1" t="str">
        <f t="shared" si="1"/>
        <v>Monday</v>
      </c>
      <c r="D35" s="47" t="str">
        <f t="shared" si="2"/>
        <v>0</v>
      </c>
      <c r="E35" s="1" t="str">
        <f t="shared" si="3"/>
        <v>Sunday</v>
      </c>
      <c r="F35" s="47" t="str">
        <f t="shared" si="4"/>
        <v>24</v>
      </c>
    </row>
    <row r="36" spans="1:6" x14ac:dyDescent="0.3">
      <c r="A36" s="6" t="s">
        <v>141</v>
      </c>
      <c r="B36" s="47" t="str">
        <f t="shared" si="0"/>
        <v>20040</v>
      </c>
      <c r="C36" s="1" t="str">
        <f t="shared" si="1"/>
        <v>Monday</v>
      </c>
      <c r="D36" s="47" t="str">
        <f t="shared" si="2"/>
        <v>0</v>
      </c>
      <c r="E36" s="1" t="str">
        <f t="shared" si="3"/>
        <v>Sunday</v>
      </c>
      <c r="F36" s="47" t="str">
        <f t="shared" si="4"/>
        <v>24</v>
      </c>
    </row>
    <row r="37" spans="1:6" x14ac:dyDescent="0.3">
      <c r="A37" s="6" t="s">
        <v>142</v>
      </c>
      <c r="B37" s="47" t="str">
        <f t="shared" si="0"/>
        <v>20042</v>
      </c>
      <c r="C37" s="1" t="str">
        <f t="shared" si="1"/>
        <v>Monday</v>
      </c>
      <c r="D37" s="47" t="str">
        <f t="shared" si="2"/>
        <v>0</v>
      </c>
      <c r="E37" s="1" t="str">
        <f t="shared" si="3"/>
        <v>Sunday</v>
      </c>
      <c r="F37" s="47" t="str">
        <f t="shared" si="4"/>
        <v>24</v>
      </c>
    </row>
    <row r="38" spans="1:6" x14ac:dyDescent="0.3">
      <c r="A38" s="6" t="s">
        <v>143</v>
      </c>
      <c r="B38" s="47" t="str">
        <f t="shared" si="0"/>
        <v>20044</v>
      </c>
      <c r="C38" s="1" t="str">
        <f t="shared" si="1"/>
        <v>Monday</v>
      </c>
      <c r="D38" s="47" t="str">
        <f t="shared" si="2"/>
        <v>0</v>
      </c>
      <c r="E38" s="1" t="str">
        <f t="shared" si="3"/>
        <v>Sunday</v>
      </c>
      <c r="F38" s="47" t="str">
        <f t="shared" si="4"/>
        <v>24</v>
      </c>
    </row>
    <row r="39" spans="1:6" x14ac:dyDescent="0.3">
      <c r="A39" s="6" t="s">
        <v>144</v>
      </c>
      <c r="B39" s="47" t="str">
        <f t="shared" si="0"/>
        <v>20046</v>
      </c>
      <c r="C39" s="1" t="str">
        <f t="shared" si="1"/>
        <v>Monday</v>
      </c>
      <c r="D39" s="47" t="str">
        <f t="shared" si="2"/>
        <v>0</v>
      </c>
      <c r="E39" s="1" t="str">
        <f t="shared" si="3"/>
        <v>Sunday</v>
      </c>
      <c r="F39" s="47" t="str">
        <f t="shared" si="4"/>
        <v>24</v>
      </c>
    </row>
    <row r="40" spans="1:6" x14ac:dyDescent="0.3">
      <c r="A40" s="6" t="s">
        <v>145</v>
      </c>
      <c r="B40" s="47" t="str">
        <f t="shared" si="0"/>
        <v>20048</v>
      </c>
      <c r="C40" s="1" t="str">
        <f t="shared" si="1"/>
        <v>Monday</v>
      </c>
      <c r="D40" s="47" t="str">
        <f t="shared" si="2"/>
        <v>0</v>
      </c>
      <c r="E40" s="1" t="str">
        <f t="shared" si="3"/>
        <v>Sunday</v>
      </c>
      <c r="F40" s="47" t="str">
        <f t="shared" si="4"/>
        <v>24</v>
      </c>
    </row>
    <row r="41" spans="1:6" x14ac:dyDescent="0.3">
      <c r="A41" s="6" t="s">
        <v>146</v>
      </c>
      <c r="B41" s="47" t="str">
        <f t="shared" si="0"/>
        <v>20050</v>
      </c>
      <c r="C41" s="1" t="str">
        <f t="shared" si="1"/>
        <v>Monday</v>
      </c>
      <c r="D41" s="47" t="str">
        <f t="shared" si="2"/>
        <v>0</v>
      </c>
      <c r="E41" s="1" t="str">
        <f t="shared" si="3"/>
        <v>Sunday</v>
      </c>
      <c r="F41" s="47" t="str">
        <f t="shared" si="4"/>
        <v>24</v>
      </c>
    </row>
    <row r="42" spans="1:6" x14ac:dyDescent="0.3">
      <c r="A42" s="6" t="s">
        <v>147</v>
      </c>
      <c r="B42" s="47" t="str">
        <f t="shared" si="0"/>
        <v>20052</v>
      </c>
      <c r="C42" s="1" t="str">
        <f t="shared" si="1"/>
        <v>Monday</v>
      </c>
      <c r="D42" s="47" t="str">
        <f t="shared" si="2"/>
        <v>0</v>
      </c>
      <c r="E42" s="1" t="str">
        <f t="shared" si="3"/>
        <v>Sunday</v>
      </c>
      <c r="F42" s="47" t="str">
        <f t="shared" si="4"/>
        <v>24</v>
      </c>
    </row>
    <row r="43" spans="1:6" x14ac:dyDescent="0.3">
      <c r="A43" s="6" t="s">
        <v>148</v>
      </c>
      <c r="B43" s="47" t="str">
        <f t="shared" si="0"/>
        <v>20054</v>
      </c>
      <c r="C43" s="1" t="str">
        <f t="shared" si="1"/>
        <v>Monday</v>
      </c>
      <c r="D43" s="47" t="str">
        <f t="shared" si="2"/>
        <v>0</v>
      </c>
      <c r="E43" s="1" t="str">
        <f t="shared" si="3"/>
        <v>Sunday</v>
      </c>
      <c r="F43" s="47" t="str">
        <f t="shared" si="4"/>
        <v>24</v>
      </c>
    </row>
    <row r="44" spans="1:6" x14ac:dyDescent="0.3">
      <c r="A44" s="6" t="s">
        <v>149</v>
      </c>
      <c r="B44" s="47" t="str">
        <f t="shared" si="0"/>
        <v>20058</v>
      </c>
      <c r="C44" s="1" t="str">
        <f t="shared" si="1"/>
        <v>Monday</v>
      </c>
      <c r="D44" s="47" t="str">
        <f t="shared" si="2"/>
        <v>0</v>
      </c>
      <c r="E44" s="1" t="str">
        <f t="shared" si="3"/>
        <v>Sunday</v>
      </c>
      <c r="F44" s="47" t="str">
        <f t="shared" si="4"/>
        <v>24</v>
      </c>
    </row>
    <row r="45" spans="1:6" x14ac:dyDescent="0.3">
      <c r="A45" s="6" t="s">
        <v>150</v>
      </c>
      <c r="B45" s="47" t="str">
        <f t="shared" si="0"/>
        <v>20060</v>
      </c>
      <c r="C45" s="1" t="str">
        <f t="shared" si="1"/>
        <v>Monday</v>
      </c>
      <c r="D45" s="47" t="str">
        <f t="shared" si="2"/>
        <v>0</v>
      </c>
      <c r="E45" s="1" t="str">
        <f t="shared" si="3"/>
        <v>Sunday</v>
      </c>
      <c r="F45" s="47" t="str">
        <f t="shared" si="4"/>
        <v>24</v>
      </c>
    </row>
    <row r="46" spans="1:6" x14ac:dyDescent="0.3">
      <c r="A46" s="6" t="s">
        <v>112</v>
      </c>
      <c r="B46" s="47" t="str">
        <f t="shared" si="0"/>
        <v>21000</v>
      </c>
      <c r="C46" s="1" t="str">
        <f t="shared" si="1"/>
        <v>Monday</v>
      </c>
      <c r="D46" s="47" t="str">
        <f t="shared" si="2"/>
        <v>0</v>
      </c>
      <c r="E46" s="1" t="str">
        <f t="shared" si="3"/>
        <v>Sunday</v>
      </c>
      <c r="F46" s="47" t="str">
        <f t="shared" si="4"/>
        <v>24</v>
      </c>
    </row>
    <row r="47" spans="1:6" x14ac:dyDescent="0.3">
      <c r="A47" s="6" t="s">
        <v>113</v>
      </c>
      <c r="B47" s="47" t="str">
        <f t="shared" si="0"/>
        <v>21002</v>
      </c>
      <c r="C47" s="1" t="str">
        <f t="shared" si="1"/>
        <v>Monday</v>
      </c>
      <c r="D47" s="47" t="str">
        <f t="shared" si="2"/>
        <v>0</v>
      </c>
      <c r="E47" s="1" t="str">
        <f t="shared" si="3"/>
        <v>Sunday</v>
      </c>
      <c r="F47" s="47" t="str">
        <f t="shared" si="4"/>
        <v>24</v>
      </c>
    </row>
    <row r="48" spans="1:6" x14ac:dyDescent="0.3">
      <c r="A48" s="6" t="s">
        <v>114</v>
      </c>
      <c r="B48" s="47" t="str">
        <f t="shared" si="0"/>
        <v>21004</v>
      </c>
      <c r="C48" s="1" t="str">
        <f t="shared" si="1"/>
        <v>Monday</v>
      </c>
      <c r="D48" s="47" t="str">
        <f t="shared" si="2"/>
        <v>0</v>
      </c>
      <c r="E48" s="1" t="str">
        <f t="shared" si="3"/>
        <v>Sunday</v>
      </c>
      <c r="F48" s="47" t="str">
        <f t="shared" si="4"/>
        <v>24</v>
      </c>
    </row>
    <row r="49" spans="1:6" x14ac:dyDescent="0.3">
      <c r="A49" s="6" t="s">
        <v>115</v>
      </c>
      <c r="B49" s="47" t="str">
        <f t="shared" si="0"/>
        <v>21006</v>
      </c>
      <c r="C49" s="1" t="str">
        <f t="shared" si="1"/>
        <v>Monday</v>
      </c>
      <c r="D49" s="47" t="str">
        <f t="shared" si="2"/>
        <v>0</v>
      </c>
      <c r="E49" s="1" t="str">
        <f t="shared" si="3"/>
        <v>Sunday</v>
      </c>
      <c r="F49" s="47" t="str">
        <f t="shared" si="4"/>
        <v>24</v>
      </c>
    </row>
    <row r="50" spans="1:6" x14ac:dyDescent="0.3">
      <c r="A50" s="6" t="s">
        <v>116</v>
      </c>
      <c r="B50" s="47" t="str">
        <f t="shared" si="0"/>
        <v>21008</v>
      </c>
      <c r="C50" s="1" t="str">
        <f t="shared" si="1"/>
        <v>Monday</v>
      </c>
      <c r="D50" s="47" t="str">
        <f t="shared" si="2"/>
        <v>0</v>
      </c>
      <c r="E50" s="1" t="str">
        <f t="shared" si="3"/>
        <v>Sunday</v>
      </c>
      <c r="F50" s="47" t="str">
        <f t="shared" si="4"/>
        <v>24</v>
      </c>
    </row>
    <row r="51" spans="1:6" x14ac:dyDescent="0.3">
      <c r="A51" s="6" t="s">
        <v>117</v>
      </c>
      <c r="B51" s="47" t="str">
        <f t="shared" si="0"/>
        <v>21010</v>
      </c>
      <c r="C51" s="1" t="str">
        <f t="shared" si="1"/>
        <v>Monday</v>
      </c>
      <c r="D51" s="47" t="str">
        <f t="shared" si="2"/>
        <v>0</v>
      </c>
      <c r="E51" s="1" t="str">
        <f t="shared" si="3"/>
        <v>Sunday</v>
      </c>
      <c r="F51" s="47" t="str">
        <f t="shared" si="4"/>
        <v>24</v>
      </c>
    </row>
    <row r="52" spans="1:6" x14ac:dyDescent="0.3">
      <c r="A52" s="6" t="s">
        <v>118</v>
      </c>
      <c r="B52" s="47" t="str">
        <f t="shared" si="0"/>
        <v>21012</v>
      </c>
      <c r="C52" s="1" t="str">
        <f t="shared" si="1"/>
        <v>Monday</v>
      </c>
      <c r="D52" s="47" t="str">
        <f t="shared" si="2"/>
        <v>0</v>
      </c>
      <c r="E52" s="1" t="str">
        <f t="shared" si="3"/>
        <v>Sunday</v>
      </c>
      <c r="F52" s="47" t="str">
        <f t="shared" si="4"/>
        <v>24</v>
      </c>
    </row>
    <row r="53" spans="1:6" x14ac:dyDescent="0.3">
      <c r="A53" s="6" t="s">
        <v>119</v>
      </c>
      <c r="B53" s="47" t="str">
        <f t="shared" si="0"/>
        <v>21014</v>
      </c>
      <c r="C53" s="1" t="str">
        <f t="shared" si="1"/>
        <v>Monday</v>
      </c>
      <c r="D53" s="47" t="str">
        <f t="shared" si="2"/>
        <v>0</v>
      </c>
      <c r="E53" s="1" t="str">
        <f t="shared" si="3"/>
        <v>Sunday</v>
      </c>
      <c r="F53" s="47" t="str">
        <f t="shared" si="4"/>
        <v>24</v>
      </c>
    </row>
    <row r="54" spans="1:6" x14ac:dyDescent="0.3">
      <c r="A54" s="8" t="s">
        <v>120</v>
      </c>
      <c r="B54" s="47" t="str">
        <f t="shared" si="0"/>
        <v>21016</v>
      </c>
      <c r="C54" s="1" t="str">
        <f t="shared" si="1"/>
        <v>Monday</v>
      </c>
      <c r="D54" s="47" t="str">
        <f t="shared" si="2"/>
        <v>0</v>
      </c>
      <c r="E54" s="1" t="str">
        <f t="shared" si="3"/>
        <v>Sunday</v>
      </c>
      <c r="F54" s="47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I18" sqref="I1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2.8867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9" ht="21" x14ac:dyDescent="0.4">
      <c r="A1" s="41" t="s">
        <v>84</v>
      </c>
      <c r="B1" s="40" t="s">
        <v>167</v>
      </c>
    </row>
    <row r="2" spans="1:9" ht="18" x14ac:dyDescent="0.35">
      <c r="B2" s="39" t="s">
        <v>166</v>
      </c>
    </row>
    <row r="5" spans="1:9" ht="14.4" x14ac:dyDescent="0.3">
      <c r="B5" s="1" t="s">
        <v>151</v>
      </c>
    </row>
    <row r="6" spans="1:9" ht="14.4" x14ac:dyDescent="0.3">
      <c r="A6" s="3" t="s">
        <v>52</v>
      </c>
      <c r="B6" s="1"/>
    </row>
    <row r="7" spans="1:9" ht="14.4" x14ac:dyDescent="0.3">
      <c r="A7" s="3" t="s">
        <v>153</v>
      </c>
      <c r="B7" s="1"/>
    </row>
    <row r="10" spans="1:9" ht="23.4" x14ac:dyDescent="0.45">
      <c r="A10" s="16" t="s">
        <v>162</v>
      </c>
    </row>
    <row r="11" spans="1:9" ht="15" x14ac:dyDescent="0.35">
      <c r="A11" s="31" t="s">
        <v>85</v>
      </c>
      <c r="B11" s="15" t="s">
        <v>86</v>
      </c>
      <c r="C11" s="15" t="s">
        <v>87</v>
      </c>
      <c r="H11" s="2">
        <v>1</v>
      </c>
      <c r="I11" s="49" t="s">
        <v>184</v>
      </c>
    </row>
    <row r="12" spans="1:9" ht="14.4" x14ac:dyDescent="0.3">
      <c r="A12" s="31">
        <v>44927</v>
      </c>
      <c r="B12" s="15" t="s">
        <v>58</v>
      </c>
      <c r="C12" s="15">
        <v>200</v>
      </c>
      <c r="D12" s="2" cm="1">
        <f t="array" ref="D12:D21">IFERROR(C12:C21, 20)</f>
        <v>200</v>
      </c>
      <c r="I12" s="48" t="s">
        <v>183</v>
      </c>
    </row>
    <row r="13" spans="1:9" ht="14.4" x14ac:dyDescent="0.3">
      <c r="A13" s="31">
        <v>44928</v>
      </c>
      <c r="B13" s="15" t="s">
        <v>59</v>
      </c>
      <c r="C13" s="15" t="e">
        <v>#N/A</v>
      </c>
      <c r="D13" s="2">
        <v>20</v>
      </c>
    </row>
    <row r="14" spans="1:9" ht="14.4" x14ac:dyDescent="0.3">
      <c r="A14" s="31">
        <v>44929</v>
      </c>
      <c r="B14" s="15" t="s">
        <v>60</v>
      </c>
      <c r="C14" s="15">
        <v>50</v>
      </c>
      <c r="D14" s="2">
        <v>50</v>
      </c>
      <c r="H14" s="2">
        <v>2</v>
      </c>
      <c r="I14" s="48" t="s">
        <v>185</v>
      </c>
    </row>
    <row r="15" spans="1:9" ht="14.4" x14ac:dyDescent="0.3">
      <c r="A15" s="31">
        <v>44930</v>
      </c>
      <c r="B15" s="15" t="s">
        <v>61</v>
      </c>
      <c r="C15" s="15" t="e">
        <v>#N/A</v>
      </c>
      <c r="D15" s="2">
        <v>20</v>
      </c>
    </row>
    <row r="16" spans="1:9" ht="14.4" x14ac:dyDescent="0.3">
      <c r="A16" s="31">
        <v>44931</v>
      </c>
      <c r="B16" s="15" t="s">
        <v>62</v>
      </c>
      <c r="C16" s="15">
        <v>10</v>
      </c>
      <c r="D16" s="2">
        <v>10</v>
      </c>
    </row>
    <row r="17" spans="1:4" ht="14.4" x14ac:dyDescent="0.3">
      <c r="A17" s="31">
        <v>44932</v>
      </c>
      <c r="B17" s="15" t="s">
        <v>154</v>
      </c>
      <c r="C17" s="15">
        <v>150</v>
      </c>
      <c r="D17" s="2">
        <v>150</v>
      </c>
    </row>
    <row r="18" spans="1:4" ht="14.4" x14ac:dyDescent="0.3">
      <c r="A18" s="31">
        <v>44933</v>
      </c>
      <c r="B18" s="15" t="s">
        <v>155</v>
      </c>
      <c r="C18" s="15">
        <v>80</v>
      </c>
      <c r="D18" s="2">
        <v>80</v>
      </c>
    </row>
    <row r="19" spans="1:4" ht="14.4" x14ac:dyDescent="0.3">
      <c r="A19" s="31">
        <v>44934</v>
      </c>
      <c r="B19" s="15" t="s">
        <v>156</v>
      </c>
      <c r="C19" s="15" t="e">
        <v>#N/A</v>
      </c>
      <c r="D19" s="2">
        <v>20</v>
      </c>
    </row>
    <row r="20" spans="1:4" ht="14.4" x14ac:dyDescent="0.3">
      <c r="A20" s="31">
        <v>44935</v>
      </c>
      <c r="B20" s="15" t="s">
        <v>157</v>
      </c>
      <c r="C20" s="15">
        <v>30</v>
      </c>
      <c r="D20" s="2">
        <v>30</v>
      </c>
    </row>
    <row r="21" spans="1:4" ht="14.4" x14ac:dyDescent="0.3">
      <c r="A21" s="31">
        <v>44936</v>
      </c>
      <c r="B21" s="15" t="s">
        <v>158</v>
      </c>
      <c r="C21" s="15" t="e">
        <v>#N/A</v>
      </c>
      <c r="D21" s="2">
        <v>20</v>
      </c>
    </row>
    <row r="22" spans="1:4" ht="14.4" x14ac:dyDescent="0.3">
      <c r="B22" s="15" t="s">
        <v>159</v>
      </c>
      <c r="C22" s="23" cm="1">
        <f t="array" ref="C22">SUM(IFERROR(C12:C21, 20))</f>
        <v>600</v>
      </c>
      <c r="D22" s="2" cm="1">
        <f t="array" ref="D22">SUM(IFERROR(_xlfn.ANCHORARRAY(D12), 20))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G22" sqref="G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97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52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88</v>
      </c>
      <c r="C9" s="24" t="s">
        <v>89</v>
      </c>
      <c r="D9" s="24" t="s">
        <v>90</v>
      </c>
      <c r="E9" s="24" t="s">
        <v>91</v>
      </c>
      <c r="F9" s="24" t="s">
        <v>92</v>
      </c>
      <c r="G9" s="24" t="s">
        <v>93</v>
      </c>
      <c r="H9" s="24" t="s">
        <v>94</v>
      </c>
      <c r="I9" s="24" t="s">
        <v>95</v>
      </c>
      <c r="J9" s="24" t="s">
        <v>96</v>
      </c>
      <c r="M9" s="17" t="s">
        <v>43</v>
      </c>
      <c r="N9" s="17" t="s">
        <v>98</v>
      </c>
    </row>
    <row r="10" spans="1:14" ht="14.4" x14ac:dyDescent="0.3">
      <c r="A10" s="24" t="s">
        <v>88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88</v>
      </c>
    </row>
    <row r="11" spans="1:14" ht="14.4" x14ac:dyDescent="0.3">
      <c r="A11" s="24" t="s">
        <v>89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89</v>
      </c>
    </row>
    <row r="12" spans="1:14" ht="14.4" x14ac:dyDescent="0.3">
      <c r="A12" s="24" t="s">
        <v>90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90</v>
      </c>
    </row>
    <row r="13" spans="1:14" ht="14.4" x14ac:dyDescent="0.3">
      <c r="A13" s="24" t="s">
        <v>91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91</v>
      </c>
    </row>
    <row r="14" spans="1:14" ht="14.4" x14ac:dyDescent="0.3">
      <c r="A14" s="24" t="s">
        <v>92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92</v>
      </c>
    </row>
    <row r="15" spans="1:14" ht="14.4" x14ac:dyDescent="0.3">
      <c r="A15" s="24" t="s">
        <v>93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93</v>
      </c>
    </row>
    <row r="16" spans="1:14" ht="14.4" x14ac:dyDescent="0.3">
      <c r="A16" s="24" t="s">
        <v>94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94</v>
      </c>
    </row>
    <row r="17" spans="1:14" ht="14.4" x14ac:dyDescent="0.3">
      <c r="A17" s="24" t="s">
        <v>95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95</v>
      </c>
    </row>
    <row r="18" spans="1:14" ht="14.4" x14ac:dyDescent="0.3">
      <c r="A18" s="24" t="s">
        <v>96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96</v>
      </c>
    </row>
    <row r="21" spans="1:14" ht="23.4" x14ac:dyDescent="0.45">
      <c r="A21" s="16" t="s">
        <v>168</v>
      </c>
    </row>
    <row r="22" spans="1:14" ht="14.4" x14ac:dyDescent="0.3">
      <c r="A22" s="12" t="s">
        <v>99</v>
      </c>
      <c r="B22" s="15" t="s">
        <v>100</v>
      </c>
      <c r="C22" s="14" t="s">
        <v>101</v>
      </c>
    </row>
    <row r="23" spans="1:14" ht="14.4" x14ac:dyDescent="0.3">
      <c r="A23" s="6">
        <v>10100</v>
      </c>
      <c r="B23" s="10">
        <v>10102</v>
      </c>
      <c r="C23" s="43" t="e" cm="1">
        <f t="array" ref="C23">VLOOKUP(A23,$A$9:$J$18,MATCH(B9:J9,0))</f>
        <v>#N/A</v>
      </c>
    </row>
    <row r="24" spans="1:14" ht="14.4" x14ac:dyDescent="0.3">
      <c r="A24" s="6">
        <v>10100</v>
      </c>
      <c r="B24" s="10">
        <v>10104</v>
      </c>
      <c r="C24" s="43" t="str">
        <f t="shared" ref="C24:C35" si="0">INDEX($A$9:$J$18,MATCH($M$10,$M$10:$M$18,0),MATCH(N11,$N$10:$N$18,0))</f>
        <v>A</v>
      </c>
    </row>
    <row r="25" spans="1:14" ht="14.4" x14ac:dyDescent="0.3">
      <c r="A25" s="6">
        <v>10108</v>
      </c>
      <c r="B25" s="10">
        <v>10102</v>
      </c>
      <c r="C25" s="43" t="str">
        <f t="shared" si="0"/>
        <v>B</v>
      </c>
    </row>
    <row r="26" spans="1:14" ht="14.4" x14ac:dyDescent="0.3">
      <c r="A26" s="6">
        <v>10100</v>
      </c>
      <c r="B26" s="10">
        <v>10106</v>
      </c>
      <c r="C26" s="43" t="str">
        <f t="shared" si="0"/>
        <v>C</v>
      </c>
    </row>
    <row r="27" spans="1:14" ht="14.4" x14ac:dyDescent="0.3">
      <c r="A27" s="6">
        <v>10108</v>
      </c>
      <c r="B27" s="10">
        <v>10110</v>
      </c>
      <c r="C27" s="43" t="str">
        <f t="shared" si="0"/>
        <v>D</v>
      </c>
    </row>
    <row r="28" spans="1:14" ht="14.4" x14ac:dyDescent="0.3">
      <c r="A28" s="6">
        <v>10102</v>
      </c>
      <c r="B28" s="10">
        <v>10104</v>
      </c>
      <c r="C28" s="43" t="str">
        <f t="shared" si="0"/>
        <v>E</v>
      </c>
    </row>
    <row r="29" spans="1:14" ht="14.4" x14ac:dyDescent="0.3">
      <c r="A29" s="6">
        <v>10106</v>
      </c>
      <c r="B29" s="10">
        <v>10108</v>
      </c>
      <c r="C29" s="43" t="str">
        <f t="shared" si="0"/>
        <v>F</v>
      </c>
    </row>
    <row r="30" spans="1:14" ht="14.4" x14ac:dyDescent="0.3">
      <c r="A30" s="6">
        <v>10102</v>
      </c>
      <c r="B30" s="10">
        <v>10106</v>
      </c>
      <c r="C30" s="43" t="str">
        <f t="shared" si="0"/>
        <v>G</v>
      </c>
    </row>
    <row r="31" spans="1:14" ht="14.4" x14ac:dyDescent="0.3">
      <c r="A31" s="6">
        <v>10110</v>
      </c>
      <c r="B31" s="10">
        <v>10114</v>
      </c>
      <c r="C31" s="43" t="str">
        <f t="shared" si="0"/>
        <v>H</v>
      </c>
    </row>
    <row r="32" spans="1:14" ht="14.4" x14ac:dyDescent="0.3">
      <c r="A32" s="6">
        <v>10104</v>
      </c>
      <c r="B32" s="10">
        <v>10106</v>
      </c>
      <c r="C32" s="43" t="e">
        <f t="shared" si="0"/>
        <v>#N/A</v>
      </c>
    </row>
    <row r="33" spans="1:3" ht="14.4" x14ac:dyDescent="0.3">
      <c r="A33" s="6">
        <v>10110</v>
      </c>
      <c r="B33" s="10">
        <v>10112</v>
      </c>
      <c r="C33" s="43" t="e">
        <f t="shared" si="0"/>
        <v>#N/A</v>
      </c>
    </row>
    <row r="34" spans="1:3" ht="14.4" x14ac:dyDescent="0.3">
      <c r="A34" s="6">
        <v>10100</v>
      </c>
      <c r="B34" s="10">
        <v>10114</v>
      </c>
      <c r="C34" s="43" t="e">
        <f t="shared" si="0"/>
        <v>#N/A</v>
      </c>
    </row>
    <row r="35" spans="1:3" ht="14.4" x14ac:dyDescent="0.3">
      <c r="A35" s="8">
        <v>10112</v>
      </c>
      <c r="B35" s="11">
        <v>10116</v>
      </c>
      <c r="C35" s="43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AMRIT KUMAR</cp:lastModifiedBy>
  <dcterms:created xsi:type="dcterms:W3CDTF">2015-02-10T17:33:11Z</dcterms:created>
  <dcterms:modified xsi:type="dcterms:W3CDTF">2023-12-10T11:15:45Z</dcterms:modified>
</cp:coreProperties>
</file>